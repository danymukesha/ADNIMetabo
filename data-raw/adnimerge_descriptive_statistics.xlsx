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08_pkgs\ADNIMetabo\data-raw\"/>
    </mc:Choice>
  </mc:AlternateContent>
  <xr:revisionPtr revIDLastSave="0" documentId="8_{E5D6C907-0A22-4DEC-9A8E-F8BC4533E3C5}" xr6:coauthVersionLast="47" xr6:coauthVersionMax="47" xr10:uidLastSave="{00000000-0000-0000-0000-000000000000}"/>
  <bookViews>
    <workbookView xWindow="-120" yWindow="-120" windowWidth="29040" windowHeight="15720" xr2:uid="{1BB95E3A-3D81-401E-84C9-A9CAD3513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D49" i="1"/>
  <c r="E49" i="1"/>
  <c r="F49" i="1"/>
  <c r="G49" i="1"/>
  <c r="H49" i="1"/>
</calcChain>
</file>

<file path=xl/sharedStrings.xml><?xml version="1.0" encoding="utf-8"?>
<sst xmlns="http://schemas.openxmlformats.org/spreadsheetml/2006/main" count="389" uniqueCount="201">
  <si>
    <t>N</t>
  </si>
  <si>
    <t>&lt;0.001</t>
  </si>
  <si>
    <t>Nmiss</t>
  </si>
  <si>
    <t>0 (0%)</t>
  </si>
  <si>
    <t>1 (0%)</t>
  </si>
  <si>
    <t>mean</t>
  </si>
  <si>
    <t>sd</t>
  </si>
  <si>
    <t>median</t>
  </si>
  <si>
    <t>Q1 - Q3</t>
  </si>
  <si>
    <t>29 -- 30</t>
  </si>
  <si>
    <t>21 -- 25</t>
  </si>
  <si>
    <t>26 -- 29</t>
  </si>
  <si>
    <t>27 -- 29</t>
  </si>
  <si>
    <t>min - max</t>
  </si>
  <si>
    <t>24 -- 30</t>
  </si>
  <si>
    <t>16 -- 30</t>
  </si>
  <si>
    <t>19 -- 30</t>
  </si>
  <si>
    <t>21 -- 30</t>
  </si>
  <si>
    <t>Variables</t>
  </si>
  <si>
    <t>CN</t>
  </si>
  <si>
    <t>AD</t>
  </si>
  <si>
    <t>LMCI</t>
  </si>
  <si>
    <t>SMC</t>
  </si>
  <si>
    <t>EMCI</t>
  </si>
  <si>
    <t>Total</t>
  </si>
  <si>
    <t>p</t>
  </si>
  <si>
    <t>Test</t>
  </si>
  <si>
    <t>MMSE</t>
  </si>
  <si>
    <t>AGE</t>
  </si>
  <si>
    <t>2 (0%)</t>
  </si>
  <si>
    <t>4 (0%)</t>
  </si>
  <si>
    <t>70 -- 78</t>
  </si>
  <si>
    <t>70 -- 80</t>
  </si>
  <si>
    <t>69 -- 79</t>
  </si>
  <si>
    <t>66 -- 75</t>
  </si>
  <si>
    <t>66 -- 76</t>
  </si>
  <si>
    <t>68 -- 78</t>
  </si>
  <si>
    <t>55 -- 90</t>
  </si>
  <si>
    <t>55 -- 91</t>
  </si>
  <si>
    <t>54 -- 91</t>
  </si>
  <si>
    <t>50 -- 90</t>
  </si>
  <si>
    <t>55 -- 89</t>
  </si>
  <si>
    <t>50 -- 91</t>
  </si>
  <si>
    <t>PTGENDER</t>
  </si>
  <si>
    <t>Male</t>
  </si>
  <si>
    <t>255 (47%)</t>
  </si>
  <si>
    <t>231 (56%)</t>
  </si>
  <si>
    <t>423 (61%)</t>
  </si>
  <si>
    <t>133 (38%)</t>
  </si>
  <si>
    <t>228 (54%)</t>
  </si>
  <si>
    <t>1270 (53%)</t>
  </si>
  <si>
    <t>Female</t>
  </si>
  <si>
    <t>287 (53%)</t>
  </si>
  <si>
    <t>180 (44%)</t>
  </si>
  <si>
    <t>267 (39%)</t>
  </si>
  <si>
    <t>220 (62%)</t>
  </si>
  <si>
    <t>195 (46%)</t>
  </si>
  <si>
    <t>1149 (47%)</t>
  </si>
  <si>
    <t>PTEDUCAT</t>
  </si>
  <si>
    <t>14 -- 18</t>
  </si>
  <si>
    <t>13 -- 18</t>
  </si>
  <si>
    <t>15 -- 18</t>
  </si>
  <si>
    <t>6 -- 20</t>
  </si>
  <si>
    <t>4 -- 20</t>
  </si>
  <si>
    <t>8 -- 20</t>
  </si>
  <si>
    <t>10 -- 20</t>
  </si>
  <si>
    <t>APOE4</t>
  </si>
  <si>
    <t>372 (72%)</t>
  </si>
  <si>
    <t>128 (33%)</t>
  </si>
  <si>
    <t>296 (46%)</t>
  </si>
  <si>
    <t>182 (64%)</t>
  </si>
  <si>
    <t>219 (57%)</t>
  </si>
  <si>
    <t>1197 (54%)</t>
  </si>
  <si>
    <t>128 (25%)</t>
  </si>
  <si>
    <t>183 (47%)</t>
  </si>
  <si>
    <t>262 (41%)</t>
  </si>
  <si>
    <t>95 (33%)</t>
  </si>
  <si>
    <t>135 (35%)</t>
  </si>
  <si>
    <t>803 (36%)</t>
  </si>
  <si>
    <t>14 (3%)</t>
  </si>
  <si>
    <t>78 (20%)</t>
  </si>
  <si>
    <t>82 (13%)</t>
  </si>
  <si>
    <t>8 (3%)</t>
  </si>
  <si>
    <t>28 (7%)</t>
  </si>
  <si>
    <t>210 (10%)</t>
  </si>
  <si>
    <t>(Missing)</t>
  </si>
  <si>
    <t>ADAS13</t>
  </si>
  <si>
    <t>9 (2%)</t>
  </si>
  <si>
    <t>4 (1%)</t>
  </si>
  <si>
    <t>5 (1%)</t>
  </si>
  <si>
    <t>22 (1%)</t>
  </si>
  <si>
    <t>5.7 -- 12</t>
  </si>
  <si>
    <t>24 -- 35</t>
  </si>
  <si>
    <t>14 -- 23</t>
  </si>
  <si>
    <t>5.3 -- 11</t>
  </si>
  <si>
    <t>9 -- 16</t>
  </si>
  <si>
    <t>8.7 -- 22</t>
  </si>
  <si>
    <t>0 -- 25</t>
  </si>
  <si>
    <t>13 -- 55</t>
  </si>
  <si>
    <t>0.67 -- 40</t>
  </si>
  <si>
    <t>0.67 -- 26</t>
  </si>
  <si>
    <t>2 -- 29</t>
  </si>
  <si>
    <t>0 -- 55</t>
  </si>
  <si>
    <t>RAVLT_perc_forgetting</t>
  </si>
  <si>
    <t>7 (2%)</t>
  </si>
  <si>
    <t>14 (1%)</t>
  </si>
  <si>
    <t>14 -- 50</t>
  </si>
  <si>
    <t>86 -- 100</t>
  </si>
  <si>
    <t>44 -- 100</t>
  </si>
  <si>
    <t>14 -- 54</t>
  </si>
  <si>
    <t>25 -- 70</t>
  </si>
  <si>
    <t>27 -- 100</t>
  </si>
  <si>
    <t>PTAU</t>
  </si>
  <si>
    <t>274 (51%)</t>
  </si>
  <si>
    <t>183 (45%)</t>
  </si>
  <si>
    <t>349 (51%)</t>
  </si>
  <si>
    <t>258 (73%)</t>
  </si>
  <si>
    <t>146 (35%)</t>
  </si>
  <si>
    <t>1210 (50%)</t>
  </si>
  <si>
    <t>16 -- 26</t>
  </si>
  <si>
    <t>26 -- 45</t>
  </si>
  <si>
    <t>20 -- 38</t>
  </si>
  <si>
    <t>15 -- 26</t>
  </si>
  <si>
    <t>15 -- 28</t>
  </si>
  <si>
    <t>17 -- 34</t>
  </si>
  <si>
    <t>8.3 -- 60</t>
  </si>
  <si>
    <t>11 -- 95</t>
  </si>
  <si>
    <t>8.7 -- 103</t>
  </si>
  <si>
    <t>8.5 -- 53</t>
  </si>
  <si>
    <t>8.2 -- 92</t>
  </si>
  <si>
    <t>8.2 -- 103</t>
  </si>
  <si>
    <t>TAU</t>
  </si>
  <si>
    <t>273 (50%)</t>
  </si>
  <si>
    <t>1209 (50%)</t>
  </si>
  <si>
    <t>178 -- 281</t>
  </si>
  <si>
    <t>268 -- 441</t>
  </si>
  <si>
    <t>216 -- 380</t>
  </si>
  <si>
    <t>168 -- 300</t>
  </si>
  <si>
    <t>172 -- 296</t>
  </si>
  <si>
    <t>194 -- 350</t>
  </si>
  <si>
    <t>82 -- 590</t>
  </si>
  <si>
    <t>133 -- 852</t>
  </si>
  <si>
    <t>101 -- 852</t>
  </si>
  <si>
    <t>89 -- 501</t>
  </si>
  <si>
    <t>98 -- 828</t>
  </si>
  <si>
    <t>82 -- 852</t>
  </si>
  <si>
    <t>Hippocampus</t>
  </si>
  <si>
    <t>56 (10%)</t>
  </si>
  <si>
    <t>73 (18%)</t>
  </si>
  <si>
    <t>131 (19%)</t>
  </si>
  <si>
    <t>39 (11%)</t>
  </si>
  <si>
    <t>46 (11%)</t>
  </si>
  <si>
    <t>345 (14%)</t>
  </si>
  <si>
    <t>6820 -- 7975</t>
  </si>
  <si>
    <t>5001 -- 6471</t>
  </si>
  <si>
    <t>5860 -- 7323</t>
  </si>
  <si>
    <t>7051 -- 8119</t>
  </si>
  <si>
    <t>6707 -- 7913</t>
  </si>
  <si>
    <t>6132 -- 7730</t>
  </si>
  <si>
    <t>5160 -- 10769</t>
  </si>
  <si>
    <t>2991 -- 9572</t>
  </si>
  <si>
    <t>3281 -- 9902</t>
  </si>
  <si>
    <t>4238 -- 10602</t>
  </si>
  <si>
    <t>3731 -- 9929</t>
  </si>
  <si>
    <t>2991 -- 10769</t>
  </si>
  <si>
    <t>MOCA</t>
  </si>
  <si>
    <t>231 (43%)</t>
  </si>
  <si>
    <t>196 (48%)</t>
  </si>
  <si>
    <t>409 (59%)</t>
  </si>
  <si>
    <t>8 (2%)</t>
  </si>
  <si>
    <t>853 (35%)</t>
  </si>
  <si>
    <t>24 -- 28</t>
  </si>
  <si>
    <t>14 -- 20</t>
  </si>
  <si>
    <t>20 -- 25</t>
  </si>
  <si>
    <t>22 -- 26</t>
  </si>
  <si>
    <t>21 -- 27</t>
  </si>
  <si>
    <t>18 -- 30</t>
  </si>
  <si>
    <t>4 -- 28</t>
  </si>
  <si>
    <t>12 -- 30</t>
  </si>
  <si>
    <t>17 -- 30</t>
  </si>
  <si>
    <t>13 -- 30</t>
  </si>
  <si>
    <t>4 -- 30</t>
  </si>
  <si>
    <t>EcogPtTotal</t>
  </si>
  <si>
    <t>229 (42%)</t>
  </si>
  <si>
    <t>193 (47%)</t>
  </si>
  <si>
    <t>403 (58%)</t>
  </si>
  <si>
    <t>828 (34%)</t>
  </si>
  <si>
    <t>1.1 -- 1.3</t>
  </si>
  <si>
    <t>1.4 -- 2.3</t>
  </si>
  <si>
    <t>1.4 -- 2.1</t>
  </si>
  <si>
    <t>1.2 -- 1.7</t>
  </si>
  <si>
    <t>1.4 -- 2.2</t>
  </si>
  <si>
    <t>1.2 -- 1.9</t>
  </si>
  <si>
    <t>1 -- 2.5</t>
  </si>
  <si>
    <t>1 -- 3.7</t>
  </si>
  <si>
    <t>1 -- 3.9</t>
  </si>
  <si>
    <t>1 -- 3</t>
  </si>
  <si>
    <t>1 -- 3.8</t>
  </si>
  <si>
    <t>F-test (ANOVA)</t>
  </si>
  <si>
    <t xml:space="preserve"> </t>
  </si>
  <si>
    <t xml:space="preserve">Pearson's chi-squared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</si>
</sst>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4A6736-F3C4-4901-88EF-46DA359A4C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7E26-2083-4B12-BDF3-09876149407E}">
  <sheetPr codeName="Sheet1"/>
  <dimension ref="B1:M89"/>
  <sheetViews>
    <sheetView tabSelected="1" workbookViewId="0">
      <selection activeCell="G27" sqref="G27"/>
    </sheetView>
  </sheetViews>
  <sheetFormatPr defaultRowHeight="15.75" x14ac:dyDescent="0.25"/>
  <cols>
    <col min="1" max="1" width="9.140625" style="1" customWidth="1"/>
    <col min="2" max="2" width="20.42578125" style="1" customWidth="1"/>
    <col min="3" max="3" width="14.28515625" style="1" bestFit="1" customWidth="1"/>
    <col min="4" max="5" width="13.140625" style="1" bestFit="1" customWidth="1"/>
    <col min="6" max="6" width="14.28515625" style="1" bestFit="1" customWidth="1"/>
    <col min="7" max="7" width="13.140625" style="1" bestFit="1" customWidth="1"/>
    <col min="8" max="8" width="14.28515625" style="1" bestFit="1" customWidth="1"/>
    <col min="9" max="9" width="7.42578125" style="1" bestFit="1" customWidth="1"/>
    <col min="10" max="10" width="24.5703125" style="1" bestFit="1" customWidth="1"/>
    <col min="11" max="11" width="3.28515625" style="1" bestFit="1" customWidth="1"/>
    <col min="12" max="12" width="5.42578125" style="1" customWidth="1"/>
    <col min="13" max="13" width="10.85546875" style="1" customWidth="1"/>
    <col min="14" max="16384" width="9.140625" style="1"/>
  </cols>
  <sheetData>
    <row r="1" spans="2:13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3" spans="2:13" s="2" customFormat="1" x14ac:dyDescent="0.25">
      <c r="B3" s="2" t="s">
        <v>27</v>
      </c>
    </row>
    <row r="4" spans="2:13" x14ac:dyDescent="0.25">
      <c r="B4" s="1" t="s">
        <v>0</v>
      </c>
      <c r="C4" s="1">
        <v>542</v>
      </c>
      <c r="D4" s="1">
        <v>411</v>
      </c>
      <c r="E4" s="1">
        <v>690</v>
      </c>
      <c r="F4" s="1">
        <v>352</v>
      </c>
      <c r="G4" s="1">
        <v>423</v>
      </c>
      <c r="H4" s="1">
        <v>2418</v>
      </c>
      <c r="I4" s="1" t="s">
        <v>1</v>
      </c>
      <c r="J4" s="1" t="s">
        <v>198</v>
      </c>
    </row>
    <row r="5" spans="2:13" x14ac:dyDescent="0.25">
      <c r="B5" s="1" t="s">
        <v>2</v>
      </c>
      <c r="C5" s="1" t="s">
        <v>3</v>
      </c>
      <c r="D5" s="1" t="s">
        <v>3</v>
      </c>
      <c r="E5" s="1" t="s">
        <v>3</v>
      </c>
      <c r="F5" s="1" t="s">
        <v>4</v>
      </c>
      <c r="G5" s="1" t="s">
        <v>3</v>
      </c>
      <c r="H5" s="1" t="s">
        <v>4</v>
      </c>
      <c r="J5" s="1" t="s">
        <v>199</v>
      </c>
    </row>
    <row r="6" spans="2:13" x14ac:dyDescent="0.25">
      <c r="B6" s="1" t="s">
        <v>5</v>
      </c>
      <c r="C6" s="1">
        <v>29</v>
      </c>
      <c r="D6" s="1">
        <v>23</v>
      </c>
      <c r="E6" s="1">
        <v>27</v>
      </c>
      <c r="F6" s="1">
        <v>29</v>
      </c>
      <c r="G6" s="1">
        <v>28</v>
      </c>
      <c r="H6" s="1">
        <v>27</v>
      </c>
      <c r="J6" s="1" t="s">
        <v>199</v>
      </c>
    </row>
    <row r="7" spans="2:13" x14ac:dyDescent="0.25">
      <c r="B7" s="1" t="s">
        <v>6</v>
      </c>
      <c r="C7" s="1">
        <v>1.1000000000000001</v>
      </c>
      <c r="D7" s="1">
        <v>2.2000000000000002</v>
      </c>
      <c r="E7" s="1">
        <v>1.9</v>
      </c>
      <c r="F7" s="1">
        <v>1.2</v>
      </c>
      <c r="G7" s="1">
        <v>1.6</v>
      </c>
      <c r="H7" s="1">
        <v>2.7</v>
      </c>
      <c r="J7" s="1" t="s">
        <v>199</v>
      </c>
    </row>
    <row r="8" spans="2:13" x14ac:dyDescent="0.25">
      <c r="B8" s="1" t="s">
        <v>7</v>
      </c>
      <c r="C8" s="1">
        <v>29</v>
      </c>
      <c r="D8" s="1">
        <v>23</v>
      </c>
      <c r="E8" s="1">
        <v>27</v>
      </c>
      <c r="F8" s="1">
        <v>29</v>
      </c>
      <c r="G8" s="1">
        <v>29</v>
      </c>
      <c r="H8" s="1">
        <v>28</v>
      </c>
      <c r="J8" s="1" t="s">
        <v>199</v>
      </c>
    </row>
    <row r="9" spans="2:13" x14ac:dyDescent="0.25">
      <c r="B9" s="1" t="s">
        <v>8</v>
      </c>
      <c r="C9" s="1" t="s">
        <v>9</v>
      </c>
      <c r="D9" s="1" t="s">
        <v>10</v>
      </c>
      <c r="E9" s="1" t="s">
        <v>11</v>
      </c>
      <c r="F9" s="1" t="s">
        <v>9</v>
      </c>
      <c r="G9" s="1" t="s">
        <v>12</v>
      </c>
      <c r="H9" s="1" t="s">
        <v>11</v>
      </c>
      <c r="J9" s="1" t="s">
        <v>199</v>
      </c>
    </row>
    <row r="10" spans="2:13" x14ac:dyDescent="0.25"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14</v>
      </c>
      <c r="G10" s="1" t="s">
        <v>17</v>
      </c>
      <c r="H10" s="1" t="s">
        <v>15</v>
      </c>
      <c r="J10" s="1" t="s">
        <v>199</v>
      </c>
    </row>
    <row r="11" spans="2:13" s="2" customFormat="1" x14ac:dyDescent="0.25">
      <c r="B11" s="2" t="s">
        <v>28</v>
      </c>
      <c r="J11" s="2" t="s">
        <v>199</v>
      </c>
      <c r="M11" s="1"/>
    </row>
    <row r="12" spans="2:13" x14ac:dyDescent="0.25">
      <c r="B12" s="1" t="s">
        <v>0</v>
      </c>
      <c r="C12" s="1">
        <v>541</v>
      </c>
      <c r="D12" s="1">
        <v>411</v>
      </c>
      <c r="E12" s="1">
        <v>688</v>
      </c>
      <c r="F12" s="1">
        <v>353</v>
      </c>
      <c r="G12" s="1">
        <v>422</v>
      </c>
      <c r="H12" s="1">
        <v>2415</v>
      </c>
      <c r="I12" s="1" t="s">
        <v>1</v>
      </c>
      <c r="J12" s="1" t="s">
        <v>198</v>
      </c>
    </row>
    <row r="13" spans="2:13" x14ac:dyDescent="0.25">
      <c r="B13" s="1" t="s">
        <v>2</v>
      </c>
      <c r="C13" s="1" t="s">
        <v>4</v>
      </c>
      <c r="D13" s="1" t="s">
        <v>3</v>
      </c>
      <c r="E13" s="1" t="s">
        <v>29</v>
      </c>
      <c r="F13" s="1" t="s">
        <v>3</v>
      </c>
      <c r="G13" s="1" t="s">
        <v>4</v>
      </c>
      <c r="H13" s="1" t="s">
        <v>30</v>
      </c>
      <c r="J13" s="1" t="s">
        <v>199</v>
      </c>
    </row>
    <row r="14" spans="2:13" x14ac:dyDescent="0.25">
      <c r="B14" s="1" t="s">
        <v>5</v>
      </c>
      <c r="C14" s="1">
        <v>73</v>
      </c>
      <c r="D14" s="1">
        <v>75</v>
      </c>
      <c r="E14" s="1">
        <v>74</v>
      </c>
      <c r="F14" s="1">
        <v>71</v>
      </c>
      <c r="G14" s="1">
        <v>71</v>
      </c>
      <c r="H14" s="1">
        <v>73</v>
      </c>
      <c r="J14" s="1" t="s">
        <v>199</v>
      </c>
    </row>
    <row r="15" spans="2:13" x14ac:dyDescent="0.25">
      <c r="B15" s="1" t="s">
        <v>6</v>
      </c>
      <c r="C15" s="1">
        <v>6.4</v>
      </c>
      <c r="D15" s="1">
        <v>7.9</v>
      </c>
      <c r="E15" s="1">
        <v>7.5</v>
      </c>
      <c r="F15" s="1">
        <v>6.8</v>
      </c>
      <c r="G15" s="1">
        <v>7.5</v>
      </c>
      <c r="H15" s="1">
        <v>7.4</v>
      </c>
      <c r="J15" s="1" t="s">
        <v>199</v>
      </c>
    </row>
    <row r="16" spans="2:13" x14ac:dyDescent="0.25">
      <c r="B16" s="1" t="s">
        <v>7</v>
      </c>
      <c r="C16" s="1">
        <v>73</v>
      </c>
      <c r="D16" s="1">
        <v>75</v>
      </c>
      <c r="E16" s="1">
        <v>74</v>
      </c>
      <c r="F16" s="1">
        <v>69</v>
      </c>
      <c r="G16" s="1">
        <v>71</v>
      </c>
      <c r="H16" s="1">
        <v>73</v>
      </c>
      <c r="J16" s="1" t="s">
        <v>199</v>
      </c>
    </row>
    <row r="17" spans="2:13" x14ac:dyDescent="0.25">
      <c r="B17" s="1" t="s">
        <v>8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35</v>
      </c>
      <c r="H17" s="1" t="s">
        <v>36</v>
      </c>
      <c r="J17" s="1" t="s">
        <v>199</v>
      </c>
    </row>
    <row r="18" spans="2:13" x14ac:dyDescent="0.25">
      <c r="B18" s="1" t="s">
        <v>13</v>
      </c>
      <c r="C18" s="1" t="s">
        <v>37</v>
      </c>
      <c r="D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J18" s="1" t="s">
        <v>199</v>
      </c>
    </row>
    <row r="19" spans="2:13" s="2" customFormat="1" x14ac:dyDescent="0.25">
      <c r="B19" s="2" t="s">
        <v>43</v>
      </c>
      <c r="J19" s="2" t="s">
        <v>199</v>
      </c>
      <c r="M19" s="1"/>
    </row>
    <row r="20" spans="2:13" x14ac:dyDescent="0.25">
      <c r="B20" s="1" t="s">
        <v>44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1</v>
      </c>
      <c r="J20" s="1" t="s">
        <v>200</v>
      </c>
    </row>
    <row r="21" spans="2:13" x14ac:dyDescent="0.25">
      <c r="B21" s="1" t="s">
        <v>51</v>
      </c>
      <c r="C21" s="1" t="s">
        <v>52</v>
      </c>
      <c r="D21" s="1" t="s">
        <v>53</v>
      </c>
      <c r="E21" s="1" t="s">
        <v>54</v>
      </c>
      <c r="F21" s="1" t="s">
        <v>55</v>
      </c>
      <c r="G21" s="1" t="s">
        <v>56</v>
      </c>
      <c r="H21" s="1" t="s">
        <v>57</v>
      </c>
      <c r="J21" s="1" t="s">
        <v>199</v>
      </c>
    </row>
    <row r="22" spans="2:13" s="2" customFormat="1" x14ac:dyDescent="0.25">
      <c r="B22" s="2" t="s">
        <v>58</v>
      </c>
      <c r="J22" s="2" t="s">
        <v>199</v>
      </c>
      <c r="M22" s="1"/>
    </row>
    <row r="23" spans="2:13" x14ac:dyDescent="0.25">
      <c r="B23" s="1" t="s">
        <v>0</v>
      </c>
      <c r="C23" s="1">
        <v>542</v>
      </c>
      <c r="D23" s="1">
        <v>411</v>
      </c>
      <c r="E23" s="1">
        <v>690</v>
      </c>
      <c r="F23" s="1">
        <v>353</v>
      </c>
      <c r="G23" s="1">
        <v>423</v>
      </c>
      <c r="H23" s="1">
        <v>2419</v>
      </c>
      <c r="I23" s="1" t="s">
        <v>1</v>
      </c>
      <c r="J23" s="1" t="s">
        <v>198</v>
      </c>
    </row>
    <row r="24" spans="2:13" x14ac:dyDescent="0.25">
      <c r="B24" s="1" t="s">
        <v>5</v>
      </c>
      <c r="C24" s="1">
        <v>16</v>
      </c>
      <c r="D24" s="1">
        <v>15</v>
      </c>
      <c r="E24" s="1">
        <v>16</v>
      </c>
      <c r="F24" s="1">
        <v>17</v>
      </c>
      <c r="G24" s="1">
        <v>16</v>
      </c>
      <c r="H24" s="1">
        <v>16</v>
      </c>
      <c r="J24" s="1" t="s">
        <v>199</v>
      </c>
    </row>
    <row r="25" spans="2:13" x14ac:dyDescent="0.25">
      <c r="B25" s="1" t="s">
        <v>6</v>
      </c>
      <c r="C25" s="1">
        <v>2.6</v>
      </c>
      <c r="D25" s="1">
        <v>2.9</v>
      </c>
      <c r="E25" s="1">
        <v>2.8</v>
      </c>
      <c r="F25" s="1">
        <v>2.2999999999999998</v>
      </c>
      <c r="G25" s="1">
        <v>2.6</v>
      </c>
      <c r="H25" s="1">
        <v>2.7</v>
      </c>
      <c r="J25" s="1" t="s">
        <v>199</v>
      </c>
    </row>
    <row r="26" spans="2:13" x14ac:dyDescent="0.25">
      <c r="B26" s="1" t="s">
        <v>7</v>
      </c>
      <c r="C26" s="1">
        <v>16</v>
      </c>
      <c r="D26" s="1">
        <v>16</v>
      </c>
      <c r="E26" s="1">
        <v>16</v>
      </c>
      <c r="F26" s="1">
        <v>16</v>
      </c>
      <c r="G26" s="1">
        <v>16</v>
      </c>
      <c r="H26" s="1">
        <v>16</v>
      </c>
      <c r="J26" s="1" t="s">
        <v>199</v>
      </c>
    </row>
    <row r="27" spans="2:13" x14ac:dyDescent="0.25">
      <c r="B27" s="1" t="s">
        <v>8</v>
      </c>
      <c r="C27" s="1" t="s">
        <v>59</v>
      </c>
      <c r="D27" s="1" t="s">
        <v>60</v>
      </c>
      <c r="E27" s="1" t="s">
        <v>59</v>
      </c>
      <c r="F27" s="1" t="s">
        <v>61</v>
      </c>
      <c r="G27" s="1" t="s">
        <v>59</v>
      </c>
      <c r="H27" s="1" t="s">
        <v>59</v>
      </c>
      <c r="J27" s="1" t="s">
        <v>199</v>
      </c>
    </row>
    <row r="28" spans="2:13" x14ac:dyDescent="0.25">
      <c r="B28" s="1" t="s">
        <v>13</v>
      </c>
      <c r="C28" s="1" t="s">
        <v>62</v>
      </c>
      <c r="D28" s="1" t="s">
        <v>63</v>
      </c>
      <c r="E28" s="1" t="s">
        <v>63</v>
      </c>
      <c r="F28" s="1" t="s">
        <v>64</v>
      </c>
      <c r="G28" s="1" t="s">
        <v>65</v>
      </c>
      <c r="H28" s="1" t="s">
        <v>63</v>
      </c>
      <c r="J28" s="1" t="s">
        <v>199</v>
      </c>
    </row>
    <row r="29" spans="2:13" s="2" customFormat="1" x14ac:dyDescent="0.25">
      <c r="B29" s="2" t="s">
        <v>66</v>
      </c>
      <c r="J29" s="2" t="s">
        <v>199</v>
      </c>
      <c r="M29" s="1"/>
    </row>
    <row r="30" spans="2:13" x14ac:dyDescent="0.25">
      <c r="B30" s="1">
        <v>0</v>
      </c>
      <c r="C30" s="1" t="s">
        <v>67</v>
      </c>
      <c r="D30" s="1" t="s">
        <v>68</v>
      </c>
      <c r="E30" s="1" t="s">
        <v>69</v>
      </c>
      <c r="F30" s="1" t="s">
        <v>70</v>
      </c>
      <c r="G30" s="1" t="s">
        <v>71</v>
      </c>
      <c r="H30" s="1" t="s">
        <v>72</v>
      </c>
      <c r="I30" s="1" t="s">
        <v>1</v>
      </c>
      <c r="J30" s="1" t="s">
        <v>200</v>
      </c>
    </row>
    <row r="31" spans="2:13" x14ac:dyDescent="0.25">
      <c r="B31" s="1">
        <v>1</v>
      </c>
      <c r="C31" s="1" t="s">
        <v>73</v>
      </c>
      <c r="D31" s="1" t="s">
        <v>74</v>
      </c>
      <c r="E31" s="1" t="s">
        <v>75</v>
      </c>
      <c r="F31" s="1" t="s">
        <v>76</v>
      </c>
      <c r="G31" s="1" t="s">
        <v>77</v>
      </c>
      <c r="H31" s="1" t="s">
        <v>78</v>
      </c>
      <c r="J31" s="1" t="s">
        <v>199</v>
      </c>
    </row>
    <row r="32" spans="2:13" x14ac:dyDescent="0.25">
      <c r="B32" s="1">
        <v>2</v>
      </c>
      <c r="C32" s="1" t="s">
        <v>79</v>
      </c>
      <c r="D32" s="1" t="s">
        <v>80</v>
      </c>
      <c r="E32" s="1" t="s">
        <v>81</v>
      </c>
      <c r="F32" s="1" t="s">
        <v>82</v>
      </c>
      <c r="G32" s="1" t="s">
        <v>83</v>
      </c>
      <c r="H32" s="1" t="s">
        <v>84</v>
      </c>
      <c r="J32" s="1" t="s">
        <v>199</v>
      </c>
    </row>
    <row r="33" spans="2:13" x14ac:dyDescent="0.25">
      <c r="B33" s="1" t="s">
        <v>85</v>
      </c>
      <c r="C33" s="1">
        <v>28</v>
      </c>
      <c r="D33" s="1">
        <v>22</v>
      </c>
      <c r="E33" s="1">
        <v>50</v>
      </c>
      <c r="F33" s="1">
        <v>68</v>
      </c>
      <c r="G33" s="1">
        <v>41</v>
      </c>
      <c r="H33" s="1">
        <v>209</v>
      </c>
      <c r="J33" s="1" t="s">
        <v>199</v>
      </c>
    </row>
    <row r="34" spans="2:13" s="2" customFormat="1" x14ac:dyDescent="0.25">
      <c r="B34" s="2" t="s">
        <v>86</v>
      </c>
      <c r="J34" s="2" t="s">
        <v>199</v>
      </c>
      <c r="M34" s="1"/>
    </row>
    <row r="35" spans="2:13" x14ac:dyDescent="0.25">
      <c r="B35" s="1" t="s">
        <v>0</v>
      </c>
      <c r="C35" s="1">
        <v>542</v>
      </c>
      <c r="D35" s="1">
        <v>402</v>
      </c>
      <c r="E35" s="1">
        <v>686</v>
      </c>
      <c r="F35" s="1">
        <v>349</v>
      </c>
      <c r="G35" s="1">
        <v>418</v>
      </c>
      <c r="H35" s="1">
        <v>2397</v>
      </c>
      <c r="I35" s="1" t="s">
        <v>1</v>
      </c>
      <c r="J35" s="1" t="s">
        <v>198</v>
      </c>
    </row>
    <row r="36" spans="2:13" x14ac:dyDescent="0.25">
      <c r="B36" s="1" t="s">
        <v>2</v>
      </c>
      <c r="C36" s="1" t="s">
        <v>3</v>
      </c>
      <c r="D36" s="1" t="s">
        <v>87</v>
      </c>
      <c r="E36" s="1" t="s">
        <v>88</v>
      </c>
      <c r="F36" s="1" t="s">
        <v>88</v>
      </c>
      <c r="G36" s="1" t="s">
        <v>89</v>
      </c>
      <c r="H36" s="1" t="s">
        <v>90</v>
      </c>
      <c r="J36" s="1" t="s">
        <v>199</v>
      </c>
    </row>
    <row r="37" spans="2:13" x14ac:dyDescent="0.25">
      <c r="B37" s="1" t="s">
        <v>5</v>
      </c>
      <c r="C37" s="1">
        <v>9</v>
      </c>
      <c r="D37" s="1">
        <v>30</v>
      </c>
      <c r="E37" s="1">
        <v>19</v>
      </c>
      <c r="F37" s="1">
        <v>8.6</v>
      </c>
      <c r="G37" s="1">
        <v>13</v>
      </c>
      <c r="H37" s="1">
        <v>16</v>
      </c>
      <c r="J37" s="1" t="s">
        <v>199</v>
      </c>
    </row>
    <row r="38" spans="2:13" x14ac:dyDescent="0.25">
      <c r="B38" s="1" t="s">
        <v>6</v>
      </c>
      <c r="C38" s="1">
        <v>4.4000000000000004</v>
      </c>
      <c r="D38" s="1">
        <v>8</v>
      </c>
      <c r="E38" s="1">
        <v>6.6</v>
      </c>
      <c r="F38" s="1">
        <v>4.3</v>
      </c>
      <c r="G38" s="1">
        <v>5.4</v>
      </c>
      <c r="H38" s="1">
        <v>9.5</v>
      </c>
      <c r="J38" s="1" t="s">
        <v>199</v>
      </c>
    </row>
    <row r="39" spans="2:13" x14ac:dyDescent="0.25">
      <c r="B39" s="1" t="s">
        <v>7</v>
      </c>
      <c r="C39" s="1">
        <v>9</v>
      </c>
      <c r="D39" s="1">
        <v>29</v>
      </c>
      <c r="E39" s="1">
        <v>18</v>
      </c>
      <c r="F39" s="1">
        <v>8</v>
      </c>
      <c r="G39" s="1">
        <v>12</v>
      </c>
      <c r="H39" s="1">
        <v>14</v>
      </c>
      <c r="J39" s="1" t="s">
        <v>199</v>
      </c>
    </row>
    <row r="40" spans="2:13" x14ac:dyDescent="0.25">
      <c r="B40" s="1" t="s">
        <v>8</v>
      </c>
      <c r="C40" s="1" t="s">
        <v>91</v>
      </c>
      <c r="D40" s="1" t="s">
        <v>92</v>
      </c>
      <c r="E40" s="1" t="s">
        <v>93</v>
      </c>
      <c r="F40" s="1" t="s">
        <v>94</v>
      </c>
      <c r="G40" s="1" t="s">
        <v>95</v>
      </c>
      <c r="H40" s="1" t="s">
        <v>96</v>
      </c>
      <c r="J40" s="1" t="s">
        <v>199</v>
      </c>
    </row>
    <row r="41" spans="2:13" x14ac:dyDescent="0.25">
      <c r="B41" s="1" t="s">
        <v>13</v>
      </c>
      <c r="C41" s="1" t="s">
        <v>97</v>
      </c>
      <c r="D41" s="1" t="s">
        <v>98</v>
      </c>
      <c r="E41" s="1" t="s">
        <v>99</v>
      </c>
      <c r="F41" s="1" t="s">
        <v>100</v>
      </c>
      <c r="G41" s="1" t="s">
        <v>101</v>
      </c>
      <c r="H41" s="1" t="s">
        <v>102</v>
      </c>
      <c r="J41" s="1" t="s">
        <v>199</v>
      </c>
    </row>
    <row r="42" spans="2:13" s="2" customFormat="1" x14ac:dyDescent="0.25">
      <c r="B42" s="2" t="s">
        <v>103</v>
      </c>
      <c r="J42" s="2" t="s">
        <v>199</v>
      </c>
      <c r="M42" s="1"/>
    </row>
    <row r="43" spans="2:13" x14ac:dyDescent="0.25">
      <c r="B43" s="1" t="s">
        <v>0</v>
      </c>
      <c r="C43" s="1">
        <v>540</v>
      </c>
      <c r="D43" s="1">
        <v>404</v>
      </c>
      <c r="E43" s="1">
        <v>688</v>
      </c>
      <c r="F43" s="1">
        <v>352</v>
      </c>
      <c r="G43" s="1">
        <v>421</v>
      </c>
      <c r="H43" s="1">
        <v>2405</v>
      </c>
      <c r="I43" s="1" t="s">
        <v>1</v>
      </c>
      <c r="J43" s="1" t="s">
        <v>198</v>
      </c>
    </row>
    <row r="44" spans="2:13" x14ac:dyDescent="0.25">
      <c r="B44" s="1" t="s">
        <v>2</v>
      </c>
      <c r="C44" s="1" t="s">
        <v>29</v>
      </c>
      <c r="D44" s="1" t="s">
        <v>104</v>
      </c>
      <c r="E44" s="1" t="s">
        <v>29</v>
      </c>
      <c r="F44" s="1" t="s">
        <v>4</v>
      </c>
      <c r="G44" s="1" t="s">
        <v>29</v>
      </c>
      <c r="H44" s="1" t="s">
        <v>105</v>
      </c>
      <c r="J44" s="1" t="s">
        <v>199</v>
      </c>
    </row>
    <row r="45" spans="2:13" x14ac:dyDescent="0.25">
      <c r="B45" s="1" t="s">
        <v>5</v>
      </c>
      <c r="C45" s="1">
        <v>34</v>
      </c>
      <c r="D45" s="1">
        <v>90</v>
      </c>
      <c r="E45" s="1">
        <v>68</v>
      </c>
      <c r="F45" s="1">
        <v>35</v>
      </c>
      <c r="G45" s="1">
        <v>47</v>
      </c>
      <c r="H45" s="1">
        <v>56</v>
      </c>
      <c r="J45" s="1" t="s">
        <v>199</v>
      </c>
    </row>
    <row r="46" spans="2:13" x14ac:dyDescent="0.25">
      <c r="B46" s="1" t="s">
        <v>6</v>
      </c>
      <c r="C46" s="1">
        <v>27</v>
      </c>
      <c r="D46" s="1">
        <v>22</v>
      </c>
      <c r="E46" s="1">
        <v>31</v>
      </c>
      <c r="F46" s="1">
        <v>28</v>
      </c>
      <c r="G46" s="1">
        <v>36</v>
      </c>
      <c r="H46" s="1">
        <v>36</v>
      </c>
      <c r="J46" s="1" t="s">
        <v>199</v>
      </c>
    </row>
    <row r="47" spans="2:13" x14ac:dyDescent="0.25">
      <c r="B47" s="1" t="s">
        <v>7</v>
      </c>
      <c r="C47" s="1">
        <v>31</v>
      </c>
      <c r="D47" s="1">
        <v>100</v>
      </c>
      <c r="E47" s="1">
        <v>73</v>
      </c>
      <c r="F47" s="1">
        <v>30</v>
      </c>
      <c r="G47" s="1">
        <v>44</v>
      </c>
      <c r="H47" s="1">
        <v>56</v>
      </c>
      <c r="J47" s="1" t="s">
        <v>199</v>
      </c>
    </row>
    <row r="48" spans="2:13" x14ac:dyDescent="0.25">
      <c r="B48" s="1" t="s">
        <v>8</v>
      </c>
      <c r="C48" s="1" t="s">
        <v>106</v>
      </c>
      <c r="D48" s="1" t="s">
        <v>107</v>
      </c>
      <c r="E48" s="1" t="s">
        <v>108</v>
      </c>
      <c r="F48" s="1" t="s">
        <v>109</v>
      </c>
      <c r="G48" s="1" t="s">
        <v>110</v>
      </c>
      <c r="H48" s="1" t="s">
        <v>111</v>
      </c>
      <c r="J48" s="1" t="s">
        <v>199</v>
      </c>
    </row>
    <row r="49" spans="2:13" x14ac:dyDescent="0.25">
      <c r="B49" s="1" t="s">
        <v>13</v>
      </c>
      <c r="C49" s="1">
        <f>-100 -- 100</f>
        <v>0</v>
      </c>
      <c r="D49" s="1">
        <f>-50 -- 100</f>
        <v>50</v>
      </c>
      <c r="E49" s="1">
        <f>-25 -- 100</f>
        <v>75</v>
      </c>
      <c r="F49" s="1">
        <f>-38 -- 100</f>
        <v>62</v>
      </c>
      <c r="G49" s="1">
        <f>-317 -- 100</f>
        <v>-217</v>
      </c>
      <c r="H49" s="1">
        <f>-317 -- 100</f>
        <v>-217</v>
      </c>
      <c r="J49" s="1" t="s">
        <v>199</v>
      </c>
    </row>
    <row r="50" spans="2:13" s="2" customFormat="1" x14ac:dyDescent="0.25">
      <c r="B50" s="2" t="s">
        <v>112</v>
      </c>
      <c r="J50" s="2" t="s">
        <v>199</v>
      </c>
      <c r="M50" s="1"/>
    </row>
    <row r="51" spans="2:13" x14ac:dyDescent="0.25">
      <c r="B51" s="1" t="s">
        <v>0</v>
      </c>
      <c r="C51" s="1">
        <v>268</v>
      </c>
      <c r="D51" s="1">
        <v>228</v>
      </c>
      <c r="E51" s="1">
        <v>341</v>
      </c>
      <c r="F51" s="1">
        <v>95</v>
      </c>
      <c r="G51" s="1">
        <v>277</v>
      </c>
      <c r="H51" s="1">
        <v>1209</v>
      </c>
      <c r="I51" s="1" t="s">
        <v>1</v>
      </c>
      <c r="J51" s="1" t="s">
        <v>198</v>
      </c>
    </row>
    <row r="52" spans="2:13" x14ac:dyDescent="0.25">
      <c r="B52" s="1" t="s">
        <v>2</v>
      </c>
      <c r="C52" s="1" t="s">
        <v>113</v>
      </c>
      <c r="D52" s="1" t="s">
        <v>114</v>
      </c>
      <c r="E52" s="1" t="s">
        <v>115</v>
      </c>
      <c r="F52" s="1" t="s">
        <v>116</v>
      </c>
      <c r="G52" s="1" t="s">
        <v>117</v>
      </c>
      <c r="H52" s="1" t="s">
        <v>118</v>
      </c>
      <c r="J52" s="1" t="s">
        <v>199</v>
      </c>
    </row>
    <row r="53" spans="2:13" x14ac:dyDescent="0.25">
      <c r="B53" s="1" t="s">
        <v>5</v>
      </c>
      <c r="C53" s="1">
        <v>22</v>
      </c>
      <c r="D53" s="1">
        <v>37</v>
      </c>
      <c r="E53" s="1">
        <v>30</v>
      </c>
      <c r="F53" s="1">
        <v>22</v>
      </c>
      <c r="G53" s="1">
        <v>24</v>
      </c>
      <c r="H53" s="1">
        <v>28</v>
      </c>
      <c r="J53" s="1" t="s">
        <v>199</v>
      </c>
    </row>
    <row r="54" spans="2:13" x14ac:dyDescent="0.25">
      <c r="B54" s="1" t="s">
        <v>6</v>
      </c>
      <c r="C54" s="1">
        <v>9.1</v>
      </c>
      <c r="D54" s="1">
        <v>16</v>
      </c>
      <c r="E54" s="1">
        <v>15</v>
      </c>
      <c r="F54" s="1">
        <v>9.6</v>
      </c>
      <c r="G54" s="1">
        <v>14</v>
      </c>
      <c r="H54" s="1">
        <v>14</v>
      </c>
      <c r="J54" s="1" t="s">
        <v>199</v>
      </c>
    </row>
    <row r="55" spans="2:13" x14ac:dyDescent="0.25">
      <c r="B55" s="1" t="s">
        <v>7</v>
      </c>
      <c r="C55" s="1">
        <v>20</v>
      </c>
      <c r="D55" s="1">
        <v>34</v>
      </c>
      <c r="E55" s="1">
        <v>28</v>
      </c>
      <c r="F55" s="1">
        <v>19</v>
      </c>
      <c r="G55" s="1">
        <v>21</v>
      </c>
      <c r="H55" s="1">
        <v>24</v>
      </c>
      <c r="J55" s="1" t="s">
        <v>199</v>
      </c>
    </row>
    <row r="56" spans="2:13" x14ac:dyDescent="0.25">
      <c r="B56" s="1" t="s">
        <v>8</v>
      </c>
      <c r="C56" s="1" t="s">
        <v>119</v>
      </c>
      <c r="D56" s="1" t="s">
        <v>120</v>
      </c>
      <c r="E56" s="1" t="s">
        <v>121</v>
      </c>
      <c r="F56" s="1" t="s">
        <v>122</v>
      </c>
      <c r="G56" s="1" t="s">
        <v>123</v>
      </c>
      <c r="H56" s="1" t="s">
        <v>124</v>
      </c>
      <c r="J56" s="1" t="s">
        <v>199</v>
      </c>
    </row>
    <row r="57" spans="2:13" x14ac:dyDescent="0.25">
      <c r="B57" s="1" t="s">
        <v>13</v>
      </c>
      <c r="C57" s="1" t="s">
        <v>125</v>
      </c>
      <c r="D57" s="1" t="s">
        <v>126</v>
      </c>
      <c r="E57" s="1" t="s">
        <v>127</v>
      </c>
      <c r="F57" s="1" t="s">
        <v>128</v>
      </c>
      <c r="G57" s="1" t="s">
        <v>129</v>
      </c>
      <c r="H57" s="1" t="s">
        <v>130</v>
      </c>
      <c r="J57" s="1" t="s">
        <v>199</v>
      </c>
    </row>
    <row r="58" spans="2:13" s="2" customFormat="1" x14ac:dyDescent="0.25">
      <c r="B58" s="2" t="s">
        <v>131</v>
      </c>
      <c r="J58" s="2" t="s">
        <v>199</v>
      </c>
      <c r="M58" s="1"/>
    </row>
    <row r="59" spans="2:13" x14ac:dyDescent="0.25">
      <c r="B59" s="1" t="s">
        <v>0</v>
      </c>
      <c r="C59" s="1">
        <v>269</v>
      </c>
      <c r="D59" s="1">
        <v>228</v>
      </c>
      <c r="E59" s="1">
        <v>341</v>
      </c>
      <c r="F59" s="1">
        <v>95</v>
      </c>
      <c r="G59" s="1">
        <v>277</v>
      </c>
      <c r="H59" s="1">
        <v>1210</v>
      </c>
      <c r="I59" s="1" t="s">
        <v>1</v>
      </c>
      <c r="J59" s="1" t="s">
        <v>198</v>
      </c>
    </row>
    <row r="60" spans="2:13" x14ac:dyDescent="0.25">
      <c r="B60" s="1" t="s">
        <v>2</v>
      </c>
      <c r="C60" s="1" t="s">
        <v>132</v>
      </c>
      <c r="D60" s="1" t="s">
        <v>114</v>
      </c>
      <c r="E60" s="1" t="s">
        <v>115</v>
      </c>
      <c r="F60" s="1" t="s">
        <v>116</v>
      </c>
      <c r="G60" s="1" t="s">
        <v>117</v>
      </c>
      <c r="H60" s="1" t="s">
        <v>133</v>
      </c>
      <c r="J60" s="1" t="s">
        <v>199</v>
      </c>
    </row>
    <row r="61" spans="2:13" x14ac:dyDescent="0.25">
      <c r="B61" s="1" t="s">
        <v>5</v>
      </c>
      <c r="C61" s="1">
        <v>238</v>
      </c>
      <c r="D61" s="1">
        <v>368</v>
      </c>
      <c r="E61" s="1">
        <v>309</v>
      </c>
      <c r="F61" s="1">
        <v>239</v>
      </c>
      <c r="G61" s="1">
        <v>256</v>
      </c>
      <c r="H61" s="1">
        <v>287</v>
      </c>
      <c r="J61" s="1" t="s">
        <v>199</v>
      </c>
    </row>
    <row r="62" spans="2:13" x14ac:dyDescent="0.25">
      <c r="B62" s="1" t="s">
        <v>6</v>
      </c>
      <c r="C62" s="1">
        <v>89</v>
      </c>
      <c r="D62" s="1">
        <v>145</v>
      </c>
      <c r="E62" s="1">
        <v>129</v>
      </c>
      <c r="F62" s="1">
        <v>93</v>
      </c>
      <c r="G62" s="1">
        <v>122</v>
      </c>
      <c r="H62" s="1">
        <v>129</v>
      </c>
      <c r="J62" s="1" t="s">
        <v>199</v>
      </c>
    </row>
    <row r="63" spans="2:13" x14ac:dyDescent="0.25">
      <c r="B63" s="1" t="s">
        <v>7</v>
      </c>
      <c r="C63" s="1">
        <v>214</v>
      </c>
      <c r="D63" s="1">
        <v>340</v>
      </c>
      <c r="E63" s="1">
        <v>289</v>
      </c>
      <c r="F63" s="1">
        <v>218</v>
      </c>
      <c r="G63" s="1">
        <v>234</v>
      </c>
      <c r="H63" s="1">
        <v>258</v>
      </c>
      <c r="J63" s="1" t="s">
        <v>199</v>
      </c>
    </row>
    <row r="64" spans="2:13" x14ac:dyDescent="0.25">
      <c r="B64" s="1" t="s">
        <v>8</v>
      </c>
      <c r="C64" s="1" t="s">
        <v>134</v>
      </c>
      <c r="D64" s="1" t="s">
        <v>135</v>
      </c>
      <c r="E64" s="1" t="s">
        <v>136</v>
      </c>
      <c r="F64" s="1" t="s">
        <v>137</v>
      </c>
      <c r="G64" s="1" t="s">
        <v>138</v>
      </c>
      <c r="H64" s="1" t="s">
        <v>139</v>
      </c>
      <c r="J64" s="1" t="s">
        <v>199</v>
      </c>
    </row>
    <row r="65" spans="2:13" x14ac:dyDescent="0.25">
      <c r="B65" s="1" t="s">
        <v>13</v>
      </c>
      <c r="C65" s="1" t="s">
        <v>140</v>
      </c>
      <c r="D65" s="1" t="s">
        <v>141</v>
      </c>
      <c r="E65" s="1" t="s">
        <v>142</v>
      </c>
      <c r="F65" s="1" t="s">
        <v>143</v>
      </c>
      <c r="G65" s="1" t="s">
        <v>144</v>
      </c>
      <c r="H65" s="1" t="s">
        <v>145</v>
      </c>
      <c r="J65" s="1" t="s">
        <v>199</v>
      </c>
    </row>
    <row r="66" spans="2:13" s="2" customFormat="1" x14ac:dyDescent="0.25">
      <c r="B66" s="2" t="s">
        <v>146</v>
      </c>
      <c r="J66" s="2" t="s">
        <v>199</v>
      </c>
      <c r="M66" s="1"/>
    </row>
    <row r="67" spans="2:13" x14ac:dyDescent="0.25">
      <c r="B67" s="1" t="s">
        <v>0</v>
      </c>
      <c r="C67" s="1">
        <v>486</v>
      </c>
      <c r="D67" s="1">
        <v>338</v>
      </c>
      <c r="E67" s="1">
        <v>559</v>
      </c>
      <c r="F67" s="1">
        <v>314</v>
      </c>
      <c r="G67" s="1">
        <v>377</v>
      </c>
      <c r="H67" s="1">
        <v>2074</v>
      </c>
      <c r="I67" s="1" t="s">
        <v>1</v>
      </c>
      <c r="J67" s="1" t="s">
        <v>198</v>
      </c>
    </row>
    <row r="68" spans="2:13" x14ac:dyDescent="0.25">
      <c r="B68" s="1" t="s">
        <v>2</v>
      </c>
      <c r="C68" s="1" t="s">
        <v>147</v>
      </c>
      <c r="D68" s="1" t="s">
        <v>148</v>
      </c>
      <c r="E68" s="1" t="s">
        <v>149</v>
      </c>
      <c r="F68" s="1" t="s">
        <v>150</v>
      </c>
      <c r="G68" s="1" t="s">
        <v>151</v>
      </c>
      <c r="H68" s="1" t="s">
        <v>152</v>
      </c>
      <c r="J68" s="1" t="s">
        <v>199</v>
      </c>
    </row>
    <row r="69" spans="2:13" x14ac:dyDescent="0.25">
      <c r="B69" s="1" t="s">
        <v>5</v>
      </c>
      <c r="C69" s="1">
        <v>7431</v>
      </c>
      <c r="D69" s="1">
        <v>5770</v>
      </c>
      <c r="E69" s="1">
        <v>6578</v>
      </c>
      <c r="F69" s="1">
        <v>7584</v>
      </c>
      <c r="G69" s="1">
        <v>7297</v>
      </c>
      <c r="H69" s="1">
        <v>6929</v>
      </c>
      <c r="J69" s="1" t="s">
        <v>199</v>
      </c>
    </row>
    <row r="70" spans="2:13" x14ac:dyDescent="0.25">
      <c r="B70" s="1" t="s">
        <v>6</v>
      </c>
      <c r="C70" s="1">
        <v>895</v>
      </c>
      <c r="D70" s="1">
        <v>1025</v>
      </c>
      <c r="E70" s="1">
        <v>1125</v>
      </c>
      <c r="F70" s="1">
        <v>855</v>
      </c>
      <c r="G70" s="1">
        <v>983</v>
      </c>
      <c r="H70" s="1">
        <v>1177</v>
      </c>
      <c r="J70" s="1" t="s">
        <v>199</v>
      </c>
    </row>
    <row r="71" spans="2:13" x14ac:dyDescent="0.25">
      <c r="B71" s="1" t="s">
        <v>7</v>
      </c>
      <c r="C71" s="1">
        <v>7496</v>
      </c>
      <c r="D71" s="1">
        <v>5655</v>
      </c>
      <c r="E71" s="1">
        <v>6544</v>
      </c>
      <c r="F71" s="1">
        <v>7549</v>
      </c>
      <c r="G71" s="1">
        <v>7375</v>
      </c>
      <c r="H71" s="1">
        <v>7040</v>
      </c>
      <c r="J71" s="1" t="s">
        <v>199</v>
      </c>
    </row>
    <row r="72" spans="2:13" x14ac:dyDescent="0.25">
      <c r="B72" s="1" t="s">
        <v>8</v>
      </c>
      <c r="C72" s="1" t="s">
        <v>153</v>
      </c>
      <c r="D72" s="1" t="s">
        <v>154</v>
      </c>
      <c r="E72" s="1" t="s">
        <v>155</v>
      </c>
      <c r="F72" s="1" t="s">
        <v>156</v>
      </c>
      <c r="G72" s="1" t="s">
        <v>157</v>
      </c>
      <c r="H72" s="1" t="s">
        <v>158</v>
      </c>
      <c r="J72" s="1" t="s">
        <v>199</v>
      </c>
    </row>
    <row r="73" spans="2:13" x14ac:dyDescent="0.25">
      <c r="B73" s="1" t="s">
        <v>13</v>
      </c>
      <c r="C73" s="1" t="s">
        <v>159</v>
      </c>
      <c r="D73" s="1" t="s">
        <v>160</v>
      </c>
      <c r="E73" s="1" t="s">
        <v>161</v>
      </c>
      <c r="F73" s="1" t="s">
        <v>162</v>
      </c>
      <c r="G73" s="1" t="s">
        <v>163</v>
      </c>
      <c r="H73" s="1" t="s">
        <v>164</v>
      </c>
      <c r="J73" s="1" t="s">
        <v>199</v>
      </c>
    </row>
    <row r="74" spans="2:13" s="2" customFormat="1" x14ac:dyDescent="0.25">
      <c r="B74" s="2" t="s">
        <v>165</v>
      </c>
      <c r="J74" s="2" t="s">
        <v>199</v>
      </c>
      <c r="M74" s="1"/>
    </row>
    <row r="75" spans="2:13" x14ac:dyDescent="0.25">
      <c r="B75" s="1" t="s">
        <v>0</v>
      </c>
      <c r="C75" s="1">
        <v>311</v>
      </c>
      <c r="D75" s="1">
        <v>215</v>
      </c>
      <c r="E75" s="1">
        <v>281</v>
      </c>
      <c r="F75" s="1">
        <v>345</v>
      </c>
      <c r="G75" s="1">
        <v>414</v>
      </c>
      <c r="H75" s="1">
        <v>1566</v>
      </c>
      <c r="I75" s="1" t="s">
        <v>1</v>
      </c>
      <c r="J75" s="1" t="s">
        <v>198</v>
      </c>
    </row>
    <row r="76" spans="2:13" x14ac:dyDescent="0.25">
      <c r="B76" s="1" t="s">
        <v>2</v>
      </c>
      <c r="C76" s="1" t="s">
        <v>166</v>
      </c>
      <c r="D76" s="1" t="s">
        <v>167</v>
      </c>
      <c r="E76" s="1" t="s">
        <v>168</v>
      </c>
      <c r="F76" s="1" t="s">
        <v>169</v>
      </c>
      <c r="G76" s="1" t="s">
        <v>87</v>
      </c>
      <c r="H76" s="1" t="s">
        <v>170</v>
      </c>
      <c r="J76" s="1" t="s">
        <v>199</v>
      </c>
    </row>
    <row r="77" spans="2:13" x14ac:dyDescent="0.25">
      <c r="B77" s="1" t="s">
        <v>5</v>
      </c>
      <c r="C77" s="1">
        <v>26</v>
      </c>
      <c r="D77" s="1">
        <v>17</v>
      </c>
      <c r="E77" s="1">
        <v>22</v>
      </c>
      <c r="F77" s="1">
        <v>26</v>
      </c>
      <c r="G77" s="1">
        <v>24</v>
      </c>
      <c r="H77" s="1">
        <v>24</v>
      </c>
      <c r="J77" s="1" t="s">
        <v>199</v>
      </c>
    </row>
    <row r="78" spans="2:13" x14ac:dyDescent="0.25">
      <c r="B78" s="1" t="s">
        <v>6</v>
      </c>
      <c r="C78" s="1">
        <v>2.5</v>
      </c>
      <c r="D78" s="1">
        <v>4.5</v>
      </c>
      <c r="E78" s="1">
        <v>3.3</v>
      </c>
      <c r="F78" s="1">
        <v>2.6</v>
      </c>
      <c r="G78" s="1">
        <v>3</v>
      </c>
      <c r="H78" s="1">
        <v>4.3</v>
      </c>
      <c r="J78" s="1" t="s">
        <v>199</v>
      </c>
    </row>
    <row r="79" spans="2:13" x14ac:dyDescent="0.25">
      <c r="B79" s="1" t="s">
        <v>7</v>
      </c>
      <c r="C79" s="1">
        <v>26</v>
      </c>
      <c r="D79" s="1">
        <v>18</v>
      </c>
      <c r="E79" s="1">
        <v>22</v>
      </c>
      <c r="F79" s="1">
        <v>26</v>
      </c>
      <c r="G79" s="1">
        <v>24</v>
      </c>
      <c r="H79" s="1">
        <v>24</v>
      </c>
      <c r="J79" s="1" t="s">
        <v>199</v>
      </c>
    </row>
    <row r="80" spans="2:13" x14ac:dyDescent="0.25">
      <c r="B80" s="1" t="s">
        <v>8</v>
      </c>
      <c r="C80" s="1" t="s">
        <v>171</v>
      </c>
      <c r="D80" s="1" t="s">
        <v>172</v>
      </c>
      <c r="E80" s="1" t="s">
        <v>173</v>
      </c>
      <c r="F80" s="1" t="s">
        <v>171</v>
      </c>
      <c r="G80" s="1" t="s">
        <v>174</v>
      </c>
      <c r="H80" s="1" t="s">
        <v>175</v>
      </c>
      <c r="J80" s="1" t="s">
        <v>199</v>
      </c>
    </row>
    <row r="81" spans="2:13" x14ac:dyDescent="0.25">
      <c r="B81" s="1" t="s">
        <v>13</v>
      </c>
      <c r="C81" s="1" t="s">
        <v>176</v>
      </c>
      <c r="D81" s="1" t="s">
        <v>177</v>
      </c>
      <c r="E81" s="1" t="s">
        <v>178</v>
      </c>
      <c r="F81" s="1" t="s">
        <v>179</v>
      </c>
      <c r="G81" s="1" t="s">
        <v>180</v>
      </c>
      <c r="H81" s="1" t="s">
        <v>181</v>
      </c>
      <c r="J81" s="1" t="s">
        <v>199</v>
      </c>
    </row>
    <row r="82" spans="2:13" s="2" customFormat="1" x14ac:dyDescent="0.25">
      <c r="B82" s="2" t="s">
        <v>182</v>
      </c>
      <c r="J82" s="2" t="s">
        <v>199</v>
      </c>
      <c r="M82" s="1"/>
    </row>
    <row r="83" spans="2:13" x14ac:dyDescent="0.25">
      <c r="B83" s="1" t="s">
        <v>0</v>
      </c>
      <c r="C83" s="1">
        <v>313</v>
      </c>
      <c r="D83" s="1">
        <v>218</v>
      </c>
      <c r="E83" s="1">
        <v>287</v>
      </c>
      <c r="F83" s="1">
        <v>352</v>
      </c>
      <c r="G83" s="1">
        <v>421</v>
      </c>
      <c r="H83" s="1">
        <v>1591</v>
      </c>
      <c r="I83" s="1" t="s">
        <v>1</v>
      </c>
      <c r="J83" s="1" t="s">
        <v>198</v>
      </c>
    </row>
    <row r="84" spans="2:13" x14ac:dyDescent="0.25">
      <c r="B84" s="1" t="s">
        <v>2</v>
      </c>
      <c r="C84" s="1" t="s">
        <v>183</v>
      </c>
      <c r="D84" s="1" t="s">
        <v>184</v>
      </c>
      <c r="E84" s="1" t="s">
        <v>185</v>
      </c>
      <c r="F84" s="1" t="s">
        <v>4</v>
      </c>
      <c r="G84" s="1" t="s">
        <v>29</v>
      </c>
      <c r="H84" s="1" t="s">
        <v>186</v>
      </c>
      <c r="J84" s="1" t="s">
        <v>199</v>
      </c>
    </row>
    <row r="85" spans="2:13" x14ac:dyDescent="0.25">
      <c r="B85" s="1" t="s">
        <v>5</v>
      </c>
      <c r="C85" s="1">
        <v>1.3</v>
      </c>
      <c r="D85" s="1">
        <v>1.9</v>
      </c>
      <c r="E85" s="1">
        <v>1.8</v>
      </c>
      <c r="F85" s="1">
        <v>1.5</v>
      </c>
      <c r="G85" s="1">
        <v>1.8</v>
      </c>
      <c r="H85" s="1">
        <v>1.7</v>
      </c>
      <c r="J85" s="1" t="s">
        <v>199</v>
      </c>
    </row>
    <row r="86" spans="2:13" x14ac:dyDescent="0.25">
      <c r="B86" s="1" t="s">
        <v>6</v>
      </c>
      <c r="C86" s="1">
        <v>0.27</v>
      </c>
      <c r="D86" s="1">
        <v>0.62</v>
      </c>
      <c r="E86" s="1">
        <v>0.57999999999999996</v>
      </c>
      <c r="F86" s="1">
        <v>0.35</v>
      </c>
      <c r="G86" s="1">
        <v>0.56000000000000005</v>
      </c>
      <c r="H86" s="1">
        <v>0.55000000000000004</v>
      </c>
      <c r="J86" s="1" t="s">
        <v>199</v>
      </c>
    </row>
    <row r="87" spans="2:13" x14ac:dyDescent="0.25">
      <c r="B87" s="1" t="s">
        <v>7</v>
      </c>
      <c r="C87" s="1">
        <v>1.2</v>
      </c>
      <c r="D87" s="1">
        <v>1.8</v>
      </c>
      <c r="E87" s="1">
        <v>1.7</v>
      </c>
      <c r="F87" s="1">
        <v>1.4</v>
      </c>
      <c r="G87" s="1">
        <v>1.7</v>
      </c>
      <c r="H87" s="1">
        <v>1.5</v>
      </c>
      <c r="J87" s="1" t="s">
        <v>199</v>
      </c>
    </row>
    <row r="88" spans="2:13" x14ac:dyDescent="0.25">
      <c r="B88" s="1" t="s">
        <v>8</v>
      </c>
      <c r="C88" s="1" t="s">
        <v>187</v>
      </c>
      <c r="D88" s="1" t="s">
        <v>188</v>
      </c>
      <c r="E88" s="1" t="s">
        <v>189</v>
      </c>
      <c r="F88" s="1" t="s">
        <v>190</v>
      </c>
      <c r="G88" s="1" t="s">
        <v>191</v>
      </c>
      <c r="H88" s="1" t="s">
        <v>192</v>
      </c>
      <c r="J88" s="1" t="s">
        <v>199</v>
      </c>
    </row>
    <row r="89" spans="2:13" x14ac:dyDescent="0.25">
      <c r="B89" s="1" t="s">
        <v>13</v>
      </c>
      <c r="C89" s="1" t="s">
        <v>193</v>
      </c>
      <c r="D89" s="1" t="s">
        <v>194</v>
      </c>
      <c r="E89" s="1" t="s">
        <v>195</v>
      </c>
      <c r="F89" s="1" t="s">
        <v>196</v>
      </c>
      <c r="G89" s="1" t="s">
        <v>197</v>
      </c>
      <c r="H89" s="1" t="s">
        <v>195</v>
      </c>
      <c r="J89" s="1" t="s">
        <v>199</v>
      </c>
    </row>
  </sheetData>
  <conditionalFormatting sqref="C6:G6">
    <cfRule type="colorScale" priority="3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G14">
    <cfRule type="colorScale" priority="2">
      <colorScale>
        <cfvo type="min"/>
        <cfvo type="max"/>
        <color rgb="FFF8696B"/>
        <color rgb="FFFCFCFF"/>
      </colorScale>
    </cfRule>
  </conditionalFormatting>
  <conditionalFormatting sqref="C20:H21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774AC-E2E2-4F25-8E63-64C522B38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MUKESHA</dc:creator>
  <cp:lastModifiedBy>Dany MUKESHA</cp:lastModifiedBy>
  <dcterms:created xsi:type="dcterms:W3CDTF">2025-01-09T15:25:38Z</dcterms:created>
  <dcterms:modified xsi:type="dcterms:W3CDTF">2025-01-17T19:07:25Z</dcterms:modified>
</cp:coreProperties>
</file>